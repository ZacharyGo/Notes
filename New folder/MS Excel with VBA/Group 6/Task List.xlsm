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\MS Excel with VBA\Group 6\"/>
    </mc:Choice>
  </mc:AlternateContent>
  <xr:revisionPtr revIDLastSave="0" documentId="13_ncr:1_{AA2DC5B5-5C3B-4E3E-8C0E-48EE6364952C}" xr6:coauthVersionLast="47" xr6:coauthVersionMax="47" xr10:uidLastSave="{00000000-0000-0000-0000-000000000000}"/>
  <bookViews>
    <workbookView xWindow="-108" yWindow="-108" windowWidth="23256" windowHeight="12576" xr2:uid="{6F76273C-5D08-4E1C-934A-B15611BFD3C8}"/>
  </bookViews>
  <sheets>
    <sheet name="Task List" sheetId="1" r:id="rId1"/>
    <sheet name="New" sheetId="7" state="hidden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1" l="1"/>
  <c r="G31" i="1" a="1"/>
  <c r="G28" i="1" a="1"/>
  <c r="G30" i="1" a="1"/>
  <c r="G29" i="1" a="1"/>
  <c r="G27" i="1" a="1"/>
  <c r="G26" i="1" a="1"/>
  <c r="G19" i="1" a="1"/>
  <c r="G9" i="1" a="1"/>
  <c r="G8" i="1" a="1"/>
  <c r="G20" i="1" a="1"/>
  <c r="G17" i="1" a="1"/>
  <c r="G11" i="1" a="1"/>
  <c r="G16" i="1" a="1"/>
  <c r="G18" i="1" a="1"/>
  <c r="G2" i="1" a="1"/>
  <c r="G7" i="1" a="1"/>
  <c r="G10" i="1" a="1"/>
  <c r="G23" i="1" a="1"/>
  <c r="G3" i="1" a="1"/>
  <c r="G25" i="1" a="1"/>
  <c r="G14" i="1" a="1"/>
  <c r="G13" i="1" a="1"/>
  <c r="G4" i="1" a="1"/>
  <c r="G24" i="1" a="1"/>
  <c r="G12" i="1" a="1"/>
  <c r="G21" i="1" a="1"/>
  <c r="G6" i="1" a="1"/>
  <c r="G15" i="1" a="1"/>
  <c r="G5" i="1" a="1"/>
  <c r="G22" i="1" a="1"/>
  <c r="G31" i="1" l="1"/>
  <c r="G27" i="1"/>
  <c r="G29" i="1"/>
  <c r="G30" i="1"/>
  <c r="G28" i="1"/>
  <c r="G26" i="1"/>
  <c r="G5" i="1"/>
  <c r="G22" i="1"/>
  <c r="G3" i="1"/>
  <c r="G10" i="1"/>
  <c r="G21" i="1"/>
  <c r="G2" i="1"/>
  <c r="G9" i="1"/>
  <c r="L10" i="1" s="1"/>
  <c r="G13" i="1"/>
  <c r="G17" i="1"/>
  <c r="G24" i="1"/>
  <c r="G16" i="1"/>
  <c r="G8" i="1"/>
  <c r="G7" i="1"/>
  <c r="G23" i="1"/>
  <c r="G6" i="1"/>
  <c r="G25" i="1"/>
  <c r="G19" i="1"/>
  <c r="G4" i="1"/>
  <c r="G11" i="1"/>
  <c r="G15" i="1"/>
  <c r="G14" i="1"/>
  <c r="G20" i="1"/>
  <c r="G12" i="1"/>
  <c r="G18" i="1"/>
  <c r="H31" i="1" a="1"/>
  <c r="H27" i="1" a="1"/>
  <c r="H29" i="1" a="1"/>
  <c r="H30" i="1" a="1"/>
  <c r="H28" i="1" a="1"/>
  <c r="H26" i="1" a="1"/>
  <c r="H18" i="1" a="1"/>
  <c r="H22" i="1" a="1"/>
  <c r="H25" i="1" a="1"/>
  <c r="H17" i="1" a="1"/>
  <c r="H15" i="1" a="1"/>
  <c r="H3" i="1" a="1"/>
  <c r="H10" i="1" a="1"/>
  <c r="H12" i="1" a="1"/>
  <c r="H14" i="1" a="1"/>
  <c r="H4" i="1" a="1"/>
  <c r="H20" i="1" a="1"/>
  <c r="H24" i="1" a="1"/>
  <c r="H16" i="1" a="1"/>
  <c r="H7" i="1" a="1"/>
  <c r="H9" i="1" a="1"/>
  <c r="H21" i="1" a="1"/>
  <c r="H2" i="1" a="1"/>
  <c r="H19" i="1" a="1"/>
  <c r="H13" i="1" a="1"/>
  <c r="H5" i="1" a="1"/>
  <c r="H11" i="1" a="1"/>
  <c r="H23" i="1" a="1"/>
  <c r="H8" i="1" a="1"/>
  <c r="H6" i="1" a="1"/>
  <c r="H31" i="1" l="1"/>
  <c r="H28" i="1"/>
  <c r="H30" i="1"/>
  <c r="H29" i="1"/>
  <c r="H27" i="1"/>
  <c r="H26" i="1"/>
  <c r="H20" i="1"/>
  <c r="H23" i="1"/>
  <c r="H2" i="1"/>
  <c r="H14" i="1"/>
  <c r="H7" i="1"/>
  <c r="H21" i="1"/>
  <c r="H15" i="1"/>
  <c r="H8" i="1"/>
  <c r="H10" i="1"/>
  <c r="H11" i="1"/>
  <c r="H16" i="1"/>
  <c r="H3" i="1"/>
  <c r="H4" i="1"/>
  <c r="H24" i="1"/>
  <c r="H22" i="1"/>
  <c r="H19" i="1"/>
  <c r="H17" i="1"/>
  <c r="H5" i="1"/>
  <c r="H18" i="1"/>
  <c r="H25" i="1"/>
  <c r="H13" i="1"/>
  <c r="H12" i="1"/>
  <c r="H6" i="1"/>
  <c r="H9" i="1"/>
  <c r="L3" i="1"/>
  <c r="L2" i="1"/>
  <c r="L4" i="1"/>
  <c r="L5" i="1" l="1"/>
  <c r="M3" i="1" s="1"/>
  <c r="M2" i="1" l="1"/>
  <c r="M4" i="1"/>
  <c r="M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<sst xmlns="http://schemas.openxmlformats.org/spreadsheetml/2006/main" count="54" uniqueCount="44">
  <si>
    <t>Task ID</t>
  </si>
  <si>
    <t>Task Description</t>
  </si>
  <si>
    <t>Expected Start Date</t>
  </si>
  <si>
    <t>Expected Complete Date</t>
  </si>
  <si>
    <t>Actual Start Date</t>
  </si>
  <si>
    <t>Actual Complete Date</t>
  </si>
  <si>
    <t>Status</t>
  </si>
  <si>
    <t>Expected Progress</t>
  </si>
  <si>
    <t>Count</t>
  </si>
  <si>
    <t>Percentage</t>
  </si>
  <si>
    <t>Task 1</t>
  </si>
  <si>
    <t>Pending</t>
  </si>
  <si>
    <t>Task 2</t>
  </si>
  <si>
    <t>In Progress</t>
  </si>
  <si>
    <t>Task 3</t>
  </si>
  <si>
    <t>Complete</t>
  </si>
  <si>
    <t>Task 4</t>
  </si>
  <si>
    <t>Total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</si>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</sst>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9" fontId="0" fillId="0" borderId="0" xfId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/>
    <xf numFmtId="0" fontId="0" fillId="0" borderId="9" xfId="0" applyBorder="1"/>
    <xf numFmtId="0" fontId="0" fillId="0" borderId="6" xfId="0" applyBorder="1"/>
    <xf numFmtId="0" fontId="0" fillId="0" borderId="1" xfId="0" applyBorder="1"/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0" xfId="0" applyFill="1"/>
    <xf numFmtId="9" fontId="0" fillId="6" borderId="0" xfId="1" applyFont="1" applyFill="1" applyAlignment="1">
      <alignment horizontal="center" vertical="center"/>
    </xf>
    <xf numFmtId="9" fontId="0" fillId="6" borderId="0" xfId="1" applyFont="1" applyFill="1"/>
    <xf numFmtId="0" fontId="0" fillId="0" borderId="0" xfId="0" applyBorder="1" applyAlignment="1">
      <alignment horizontal="center" vertical="center"/>
    </xf>
    <xf numFmtId="164" fontId="0" fillId="0" borderId="0" xfId="0" applyNumberFormat="1" applyBorder="1"/>
    <xf numFmtId="14" fontId="0" fillId="0" borderId="0" xfId="0" applyNumberFormat="1" applyBorder="1"/>
    <xf numFmtId="9" fontId="0" fillId="0" borderId="0" xfId="1" applyFont="1" applyBorder="1" applyAlignment="1">
      <alignment horizontal="center" vertical="center"/>
    </xf>
    <xf numFmtId="0" fontId="6" fillId="4" borderId="5" xfId="0" applyFont="1" applyFill="1" applyBorder="1"/>
    <xf numFmtId="0" fontId="6" fillId="3" borderId="5" xfId="0" applyFont="1" applyFill="1" applyBorder="1"/>
    <xf numFmtId="0" fontId="6" fillId="2" borderId="5" xfId="0" applyFont="1" applyFill="1" applyBorder="1"/>
    <xf numFmtId="9" fontId="0" fillId="0" borderId="6" xfId="1" applyFont="1" applyBorder="1" applyAlignment="1">
      <alignment horizontal="center"/>
    </xf>
    <xf numFmtId="9" fontId="0" fillId="0" borderId="9" xfId="0" applyNumberFormat="1" applyBorder="1" applyAlignment="1">
      <alignment horizontal="center"/>
    </xf>
    <xf numFmtId="0" fontId="3" fillId="5" borderId="13" xfId="0" applyFont="1" applyFill="1" applyBorder="1" applyAlignment="1">
      <alignment vertical="center"/>
    </xf>
    <xf numFmtId="0" fontId="3" fillId="5" borderId="14" xfId="0" applyFont="1" applyFill="1" applyBorder="1" applyAlignment="1">
      <alignment vertical="center"/>
    </xf>
    <xf numFmtId="9" fontId="3" fillId="5" borderId="15" xfId="1" applyFont="1" applyFill="1" applyBorder="1" applyAlignment="1">
      <alignment horizontal="center" vertical="center"/>
    </xf>
    <xf numFmtId="0" fontId="3" fillId="7" borderId="2" xfId="0" applyFont="1" applyFill="1" applyBorder="1"/>
    <xf numFmtId="0" fontId="3" fillId="7" borderId="3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5" fillId="7" borderId="1" xfId="0" applyFont="1" applyFill="1" applyBorder="1"/>
    <xf numFmtId="0" fontId="5" fillId="7" borderId="7" xfId="0" applyFont="1" applyFill="1" applyBorder="1"/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7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24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19" formatCode="m/d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0</xdr:row>
          <xdr:rowOff>0</xdr:rowOff>
        </xdr:from>
        <xdr:to>
          <xdr:col>9</xdr:col>
          <xdr:colOff>1028700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E84207-8E18-49DB-B4A3-C4539A3ED9F1}" name="Table1" displayName="Table1" ref="A1:H31" totalsRowShown="0" headerRowDxfId="23" headerRowBorderDxfId="22" tableBorderDxfId="21">
  <autoFilter ref="A1:H31" xr:uid="{46E84207-8E18-49DB-B4A3-C4539A3ED9F1}"/>
  <tableColumns count="8">
    <tableColumn id="1" xr3:uid="{73F88824-4B9F-4F0D-B039-89A1DA939290}" name="Task ID" dataDxfId="20"/>
    <tableColumn id="2" xr3:uid="{72803755-6804-46B5-993B-7D40A78B5B00}" name="Task Description" dataDxfId="19"/>
    <tableColumn id="3" xr3:uid="{6DD0458C-6237-4089-801B-CBCEDD74B04F}" name="Expected Start Date"/>
    <tableColumn id="4" xr3:uid="{D355BE12-6EA3-481E-92C2-474B2876B389}" name="Expected Complete Date"/>
    <tableColumn id="5" xr3:uid="{A8CBFBED-0E8E-411E-AB2A-F6A389CD389C}" name="Actual Start Date" dataDxfId="18"/>
    <tableColumn id="6" xr3:uid="{2A394958-B3D2-40C4-88A7-4D18BD5434E0}" name="Actual Complete Date"/>
    <tableColumn id="7" xr3:uid="{4C9E47C8-9BC3-4027-AF76-A33014EC4A2F}" name="Status"/>
    <tableColumn id="8" xr3:uid="{D7C86398-894D-4B73-87A6-B1207A1B8178}" name="Expected Progress" dataDxfId="17" dataCellStyle="Percent">
      <calculatedColumnFormula array="1">CalculateProgress(Table1[[#This Row],[Expected Start Date]],Table1[[#This Row],[Expected Complete Date]],Table1[[#This Row],[Status]])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D0CFA2-B333-4AFD-AFA2-31674CAFBC59}" name="Table3" displayName="Table3" ref="K1:M5" totalsRowShown="0" headerRowDxfId="16" headerRowBorderDxfId="15" tableBorderDxfId="14" totalsRowBorderDxfId="13">
  <tableColumns count="3">
    <tableColumn id="1" xr3:uid="{B1D23B0E-49CC-466F-9229-D5BB122809DD}" name="Status" dataDxfId="12"/>
    <tableColumn id="2" xr3:uid="{210EAC06-4600-4171-A65C-9CECBE7A5569}" name="Count" dataDxfId="11">
      <calculatedColumnFormula>COUNTIF(Table1[Status],"Pending")</calculatedColumnFormula>
    </tableColumn>
    <tableColumn id="3" xr3:uid="{FD33F05E-F93F-4FCB-B496-1CD012591EA8}" name="Percentage" dataDxfId="10">
      <calculatedColumnFormula>$L$2/$L$5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C9F0E1-D7F2-451B-B0E1-1D65FA66EF8B}" name="Table4" displayName="Table4" ref="A1:F25" totalsRowShown="0" headerRowDxfId="9" headerRowBorderDxfId="8" tableBorderDxfId="7" totalsRowBorderDxfId="6">
  <autoFilter ref="A1:F25" xr:uid="{72C9F0E1-D7F2-451B-B0E1-1D65FA66EF8B}"/>
  <tableColumns count="6">
    <tableColumn id="1" xr3:uid="{B680E02C-1F7B-45EF-A6B8-6E8B890B2099}" name="Task ID" dataDxfId="5"/>
    <tableColumn id="2" xr3:uid="{37737CA5-8E46-4608-8B96-75E1E88B13DB}" name="Task Description" dataDxfId="4"/>
    <tableColumn id="3" xr3:uid="{91E2A42F-CD3F-431D-844F-F28231D245FC}" name="Expected Start Date" dataDxfId="3"/>
    <tableColumn id="4" xr3:uid="{DFA11434-51BC-4629-9D28-619DAE4EA1BB}" name="Expected Complete Date" dataDxfId="2"/>
    <tableColumn id="5" xr3:uid="{0077383E-2687-42B6-8D3E-F104567E3F4F}" name="Actual Start Date" dataDxfId="1"/>
    <tableColumn id="6" xr3:uid="{00D88CE0-21DE-4369-BFB4-4DD0F9DAC40D}" name="Actual Complete Da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7D5C-387A-474F-B65D-963B78FAC819}">
  <sheetPr codeName="Sheet1"/>
  <dimension ref="A1:Q49"/>
  <sheetViews>
    <sheetView tabSelected="1" workbookViewId="0">
      <selection activeCell="A2" sqref="A2"/>
    </sheetView>
  </sheetViews>
  <sheetFormatPr defaultRowHeight="14.4" x14ac:dyDescent="0.3"/>
  <cols>
    <col min="1" max="1" width="9.21875" bestFit="1" customWidth="1"/>
    <col min="2" max="2" width="17" bestFit="1" customWidth="1"/>
    <col min="3" max="3" width="19.88671875" bestFit="1" customWidth="1"/>
    <col min="4" max="4" width="24.109375" bestFit="1" customWidth="1"/>
    <col min="5" max="5" width="17.44140625" bestFit="1" customWidth="1"/>
    <col min="6" max="6" width="21.6640625" bestFit="1" customWidth="1"/>
    <col min="7" max="7" width="9.88671875" bestFit="1" customWidth="1"/>
    <col min="8" max="8" width="20.77734375" style="1" bestFit="1" customWidth="1"/>
    <col min="10" max="10" width="15.109375" customWidth="1"/>
    <col min="11" max="11" width="14.44140625" bestFit="1" customWidth="1"/>
    <col min="12" max="12" width="8.33203125" bestFit="1" customWidth="1"/>
    <col min="13" max="13" width="12.6640625" bestFit="1" customWidth="1"/>
  </cols>
  <sheetData>
    <row r="1" spans="1:17" ht="25.2" customHeight="1" x14ac:dyDescent="0.3">
      <c r="A1" s="34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6" t="s">
        <v>7</v>
      </c>
      <c r="I1" s="22"/>
      <c r="K1" s="37" t="s">
        <v>6</v>
      </c>
      <c r="L1" s="38" t="s">
        <v>8</v>
      </c>
      <c r="M1" s="39" t="s">
        <v>9</v>
      </c>
      <c r="N1" s="22"/>
      <c r="O1" s="22"/>
      <c r="P1" s="22"/>
      <c r="Q1" s="22"/>
    </row>
    <row r="2" spans="1:17" x14ac:dyDescent="0.3">
      <c r="A2" s="25">
        <v>1</v>
      </c>
      <c r="B2" s="25" t="s">
        <v>10</v>
      </c>
      <c r="C2" s="26">
        <v>44893</v>
      </c>
      <c r="D2" s="27">
        <v>44897</v>
      </c>
      <c r="E2" s="27"/>
      <c r="F2" s="19"/>
      <c r="G2" s="19" t="str" cm="1">
        <f t="array" ref="G2">GetTaskStatus(E2,F2)</f>
        <v>Pending</v>
      </c>
      <c r="H2" s="28" cm="1">
        <f t="array" ref="H2">CalculateProgress(Table1[[#This Row],[Expected Start Date]],Table1[[#This Row],[Expected Complete Date]],Table1[[#This Row],[Status]])</f>
        <v>0.25</v>
      </c>
      <c r="I2" s="22"/>
      <c r="K2" s="29" t="s">
        <v>11</v>
      </c>
      <c r="L2" s="21">
        <f>COUNTIF(Table1[Status],"Pending")</f>
        <v>18</v>
      </c>
      <c r="M2" s="32">
        <f t="shared" ref="M2" si="0">$L$2/$L$5</f>
        <v>0.6</v>
      </c>
      <c r="N2" s="22"/>
      <c r="O2" s="22"/>
      <c r="P2" s="22"/>
      <c r="Q2" s="22"/>
    </row>
    <row r="3" spans="1:17" x14ac:dyDescent="0.3">
      <c r="A3" s="25">
        <v>2</v>
      </c>
      <c r="B3" s="25" t="s">
        <v>12</v>
      </c>
      <c r="C3" s="27">
        <v>44890</v>
      </c>
      <c r="D3" s="27">
        <v>44897</v>
      </c>
      <c r="E3" s="27">
        <v>44890</v>
      </c>
      <c r="F3" s="19"/>
      <c r="G3" s="19" t="str" cm="1">
        <f t="array" ref="G3">GetTaskStatus(E3,F3)</f>
        <v>In Progress</v>
      </c>
      <c r="H3" s="28" cm="1">
        <f t="array" ref="H3">CalculateProgress(Table1[[#This Row],[Expected Start Date]],Table1[[#This Row],[Expected Complete Date]],Table1[[#This Row],[Status]])</f>
        <v>0.5714285714285714</v>
      </c>
      <c r="I3" s="22"/>
      <c r="K3" s="30" t="s">
        <v>13</v>
      </c>
      <c r="L3" s="21">
        <f>COUNTIF(Table1[Status],"In Progress")</f>
        <v>2</v>
      </c>
      <c r="M3" s="32">
        <f>$L$3/$L$5</f>
        <v>6.6666666666666666E-2</v>
      </c>
      <c r="N3" s="22"/>
      <c r="O3" s="22"/>
      <c r="P3" s="22"/>
      <c r="Q3" s="22"/>
    </row>
    <row r="4" spans="1:17" x14ac:dyDescent="0.3">
      <c r="A4" s="25">
        <v>3</v>
      </c>
      <c r="B4" s="25" t="s">
        <v>14</v>
      </c>
      <c r="C4" s="27">
        <v>44890</v>
      </c>
      <c r="D4" s="27">
        <v>44897</v>
      </c>
      <c r="E4" s="27"/>
      <c r="F4" s="19"/>
      <c r="G4" s="19" t="str" cm="1">
        <f t="array" ref="G4">GetTaskStatus(E4,F4)</f>
        <v>Pending</v>
      </c>
      <c r="H4" s="28" cm="1">
        <f t="array" ref="H4">CalculateProgress(Table1[[#This Row],[Expected Start Date]],Table1[[#This Row],[Expected Complete Date]],Table1[[#This Row],[Status]])</f>
        <v>0.5714285714285714</v>
      </c>
      <c r="I4" s="22"/>
      <c r="J4" s="22"/>
      <c r="K4" s="31" t="s">
        <v>15</v>
      </c>
      <c r="L4" s="21">
        <f>COUNTIF(Table1[Status],"Complete")</f>
        <v>10</v>
      </c>
      <c r="M4" s="32">
        <f>$L$4/$L$5</f>
        <v>0.33333333333333331</v>
      </c>
      <c r="N4" s="22"/>
      <c r="O4" s="22"/>
      <c r="P4" s="22"/>
      <c r="Q4" s="22"/>
    </row>
    <row r="5" spans="1:17" x14ac:dyDescent="0.3">
      <c r="A5" s="25">
        <v>4</v>
      </c>
      <c r="B5" s="25" t="s">
        <v>16</v>
      </c>
      <c r="C5" s="26">
        <v>44886</v>
      </c>
      <c r="D5" s="27">
        <v>44897</v>
      </c>
      <c r="E5" s="27"/>
      <c r="F5" s="19"/>
      <c r="G5" s="19" t="str" cm="1">
        <f t="array" ref="G5">GetTaskStatus(E5,F5)</f>
        <v>Pending</v>
      </c>
      <c r="H5" s="28" cm="1">
        <f t="array" ref="H5">CalculateProgress(Table1[[#This Row],[Expected Start Date]],Table1[[#This Row],[Expected Complete Date]],Table1[[#This Row],[Status]])</f>
        <v>0.72727272727272729</v>
      </c>
      <c r="I5" s="22"/>
      <c r="J5" s="22"/>
      <c r="K5" s="41" t="s">
        <v>17</v>
      </c>
      <c r="L5" s="8">
        <f>SUM($L$2:$L$4)</f>
        <v>30</v>
      </c>
      <c r="M5" s="33">
        <f>SUM($M$2:$M$4)</f>
        <v>1</v>
      </c>
      <c r="N5" s="22"/>
      <c r="O5" s="22"/>
      <c r="P5" s="22"/>
      <c r="Q5" s="22"/>
    </row>
    <row r="6" spans="1:17" x14ac:dyDescent="0.3">
      <c r="A6" s="25">
        <v>5</v>
      </c>
      <c r="B6" s="25" t="s">
        <v>18</v>
      </c>
      <c r="C6" s="26">
        <v>44893</v>
      </c>
      <c r="D6" s="27">
        <v>44897</v>
      </c>
      <c r="E6" s="27"/>
      <c r="F6" s="19"/>
      <c r="G6" s="19" t="str" cm="1">
        <f t="array" ref="G6">GetTaskStatus(E6,F6)</f>
        <v>Pending</v>
      </c>
      <c r="H6" s="28" cm="1">
        <f t="array" ref="H6">CalculateProgress(Table1[[#This Row],[Expected Start Date]],Table1[[#This Row],[Expected Complete Date]],Table1[[#This Row],[Status]])</f>
        <v>0.25</v>
      </c>
      <c r="I6" s="22"/>
      <c r="J6" s="22"/>
      <c r="K6" s="22"/>
      <c r="L6" s="22"/>
      <c r="M6" s="22"/>
      <c r="N6" s="22"/>
      <c r="O6" s="22"/>
      <c r="P6" s="22"/>
      <c r="Q6" s="22"/>
    </row>
    <row r="7" spans="1:17" x14ac:dyDescent="0.3">
      <c r="A7" s="25">
        <v>6</v>
      </c>
      <c r="B7" s="25" t="s">
        <v>19</v>
      </c>
      <c r="C7" s="27">
        <v>44890</v>
      </c>
      <c r="D7" s="27">
        <v>44897</v>
      </c>
      <c r="E7" s="27"/>
      <c r="F7" s="19"/>
      <c r="G7" s="19" t="str" cm="1">
        <f t="array" ref="G7">GetTaskStatus(E7,F7)</f>
        <v>Pending</v>
      </c>
      <c r="H7" s="28" cm="1">
        <f t="array" ref="H7">CalculateProgress(Table1[[#This Row],[Expected Start Date]],Table1[[#This Row],[Expected Complete Date]],Table1[[#This Row],[Status]])</f>
        <v>0.5714285714285714</v>
      </c>
      <c r="I7" s="22"/>
      <c r="J7" s="22"/>
      <c r="K7" s="40" t="s">
        <v>0</v>
      </c>
      <c r="L7" s="6">
        <v>8</v>
      </c>
      <c r="M7" s="2"/>
      <c r="N7" s="22"/>
      <c r="O7" s="22"/>
      <c r="P7" s="22"/>
      <c r="Q7" s="22"/>
    </row>
    <row r="8" spans="1:17" x14ac:dyDescent="0.3">
      <c r="A8" s="25">
        <v>7</v>
      </c>
      <c r="B8" s="25" t="s">
        <v>20</v>
      </c>
      <c r="C8" s="27">
        <v>44886</v>
      </c>
      <c r="D8" s="27">
        <v>44889</v>
      </c>
      <c r="E8" s="27">
        <v>44886</v>
      </c>
      <c r="F8" s="27">
        <v>44890</v>
      </c>
      <c r="G8" s="19" t="str" cm="1">
        <f t="array" ref="G8">GetTaskStatus(E8,F8)</f>
        <v>Complete</v>
      </c>
      <c r="H8" s="28" cm="1">
        <f t="array" ref="H8">CalculateProgress(Table1[[#This Row],[Expected Start Date]],Table1[[#This Row],[Expected Complete Date]],Table1[[#This Row],[Status]])</f>
        <v>0</v>
      </c>
      <c r="I8" s="22"/>
      <c r="J8" s="22"/>
      <c r="K8" s="44" t="s">
        <v>1</v>
      </c>
      <c r="L8" s="42" t="str">
        <f>VLOOKUP(L7,Table1[[Task ID]:[Task Description]],2,FALSE)</f>
        <v>Task 8</v>
      </c>
      <c r="M8" s="43"/>
      <c r="N8" s="22"/>
      <c r="O8" s="22"/>
      <c r="P8" s="22"/>
      <c r="Q8" s="22"/>
    </row>
    <row r="9" spans="1:17" x14ac:dyDescent="0.3">
      <c r="A9" s="25">
        <v>8</v>
      </c>
      <c r="B9" s="25" t="s">
        <v>21</v>
      </c>
      <c r="C9" s="27">
        <v>44890</v>
      </c>
      <c r="D9" s="27">
        <v>44897</v>
      </c>
      <c r="E9" s="27">
        <v>44890</v>
      </c>
      <c r="F9" s="27">
        <v>44893</v>
      </c>
      <c r="G9" s="19" t="str" cm="1">
        <f t="array" ref="G9">GetTaskStatus(E9,F9)</f>
        <v>Complete</v>
      </c>
      <c r="H9" s="28" cm="1">
        <f t="array" ref="H9">CalculateProgress(Table1[[#This Row],[Expected Start Date]],Table1[[#This Row],[Expected Complete Date]],Table1[[#This Row],[Status]])</f>
        <v>0</v>
      </c>
      <c r="I9" s="22"/>
      <c r="J9" s="22"/>
      <c r="K9" s="44"/>
      <c r="L9" s="42"/>
      <c r="M9" s="43"/>
      <c r="N9" s="22"/>
      <c r="O9" s="22"/>
      <c r="P9" s="22"/>
      <c r="Q9" s="22"/>
    </row>
    <row r="10" spans="1:17" x14ac:dyDescent="0.3">
      <c r="A10" s="25">
        <v>9</v>
      </c>
      <c r="B10" s="25" t="s">
        <v>22</v>
      </c>
      <c r="C10" s="26">
        <v>44893</v>
      </c>
      <c r="D10" s="27">
        <v>44897</v>
      </c>
      <c r="E10" s="27"/>
      <c r="F10" s="19"/>
      <c r="G10" s="19" t="str" cm="1">
        <f t="array" ref="G10">GetTaskStatus(E10,F10)</f>
        <v>Pending</v>
      </c>
      <c r="H10" s="28" cm="1">
        <f t="array" ref="H10">CalculateProgress(Table1[[#This Row],[Expected Start Date]],Table1[[#This Row],[Expected Complete Date]],Table1[[#This Row],[Status]])</f>
        <v>0.25</v>
      </c>
      <c r="I10" s="22"/>
      <c r="J10" s="22"/>
      <c r="K10" s="40" t="s">
        <v>6</v>
      </c>
      <c r="L10" s="42" t="str">
        <f>VLOOKUP(L7,Table1[[Task ID]:[Status]],7,FALSE)</f>
        <v>Complete</v>
      </c>
      <c r="M10" s="43"/>
      <c r="N10" s="22"/>
      <c r="O10" s="22"/>
      <c r="P10" s="22"/>
      <c r="Q10" s="22"/>
    </row>
    <row r="11" spans="1:17" x14ac:dyDescent="0.3">
      <c r="A11" s="25">
        <v>10</v>
      </c>
      <c r="B11" s="25" t="s">
        <v>23</v>
      </c>
      <c r="C11" s="27">
        <v>44886</v>
      </c>
      <c r="D11" s="27">
        <v>44897</v>
      </c>
      <c r="E11" s="27">
        <v>44886</v>
      </c>
      <c r="F11" s="27">
        <v>44890</v>
      </c>
      <c r="G11" s="19" t="str" cm="1">
        <f t="array" ref="G11">GetTaskStatus(E11,F11)</f>
        <v>Complete</v>
      </c>
      <c r="H11" s="28" cm="1">
        <f t="array" ref="H11">CalculateProgress(Table1[[#This Row],[Expected Start Date]],Table1[[#This Row],[Expected Complete Date]],Table1[[#This Row],[Status]])</f>
        <v>0</v>
      </c>
      <c r="I11" s="22"/>
      <c r="J11" s="22"/>
      <c r="K11" s="22"/>
      <c r="L11" s="22"/>
      <c r="M11" s="22"/>
      <c r="N11" s="22"/>
      <c r="O11" s="22"/>
      <c r="P11" s="22"/>
      <c r="Q11" s="22"/>
    </row>
    <row r="12" spans="1:17" x14ac:dyDescent="0.3">
      <c r="A12" s="25">
        <v>11</v>
      </c>
      <c r="B12" s="25" t="s">
        <v>24</v>
      </c>
      <c r="C12" s="27">
        <v>44890</v>
      </c>
      <c r="D12" s="27">
        <v>44897</v>
      </c>
      <c r="E12" s="27"/>
      <c r="F12" s="19"/>
      <c r="G12" s="19" t="str" cm="1">
        <f t="array" ref="G12">GetTaskStatus(E12,F12)</f>
        <v>Pending</v>
      </c>
      <c r="H12" s="28" cm="1">
        <f t="array" ref="H12">CalculateProgress(Table1[[#This Row],[Expected Start Date]],Table1[[#This Row],[Expected Complete Date]],Table1[[#This Row],[Status]])</f>
        <v>0.5714285714285714</v>
      </c>
      <c r="I12" s="24"/>
      <c r="J12" s="22"/>
      <c r="K12" s="22"/>
      <c r="L12" s="22"/>
      <c r="M12" s="22"/>
      <c r="N12" s="22"/>
      <c r="O12" s="22"/>
      <c r="P12" s="22"/>
      <c r="Q12" s="22"/>
    </row>
    <row r="13" spans="1:17" x14ac:dyDescent="0.3">
      <c r="A13" s="25">
        <v>12</v>
      </c>
      <c r="B13" s="25" t="s">
        <v>25</v>
      </c>
      <c r="C13" s="27">
        <v>44879</v>
      </c>
      <c r="D13" s="27">
        <v>44889</v>
      </c>
      <c r="E13" s="27">
        <v>44880</v>
      </c>
      <c r="F13" s="27">
        <v>44892</v>
      </c>
      <c r="G13" s="19" t="str" cm="1">
        <f t="array" ref="G13">GetTaskStatus(E13,F13)</f>
        <v>Complete</v>
      </c>
      <c r="H13" s="28" cm="1">
        <f t="array" ref="H13">CalculateProgress(Table1[[#This Row],[Expected Start Date]],Table1[[#This Row],[Expected Complete Date]],Table1[[#This Row],[Status]])</f>
        <v>0</v>
      </c>
      <c r="I13" s="22"/>
      <c r="J13" s="22"/>
      <c r="K13" s="22"/>
      <c r="L13" s="22"/>
      <c r="M13" s="22"/>
      <c r="N13" s="22"/>
      <c r="O13" s="22"/>
      <c r="P13" s="22"/>
      <c r="Q13" s="22"/>
    </row>
    <row r="14" spans="1:17" x14ac:dyDescent="0.3">
      <c r="A14" s="25">
        <v>13</v>
      </c>
      <c r="B14" s="25" t="s">
        <v>26</v>
      </c>
      <c r="C14" s="26">
        <v>44893</v>
      </c>
      <c r="D14" s="27">
        <v>44897</v>
      </c>
      <c r="E14" s="27"/>
      <c r="F14" s="19"/>
      <c r="G14" s="19" t="str" cm="1">
        <f t="array" ref="G14">GetTaskStatus(E14,F14)</f>
        <v>Pending</v>
      </c>
      <c r="H14" s="28" cm="1">
        <f t="array" ref="H14">CalculateProgress(Table1[[#This Row],[Expected Start Date]],Table1[[#This Row],[Expected Complete Date]],Table1[[#This Row],[Status]])</f>
        <v>0.25</v>
      </c>
      <c r="I14" s="22"/>
      <c r="J14" s="22"/>
      <c r="K14" s="22"/>
      <c r="L14" s="22"/>
      <c r="M14" s="22"/>
      <c r="N14" s="22"/>
      <c r="O14" s="22"/>
      <c r="P14" s="22"/>
      <c r="Q14" s="22"/>
    </row>
    <row r="15" spans="1:17" x14ac:dyDescent="0.3">
      <c r="A15" s="25">
        <v>14</v>
      </c>
      <c r="B15" s="25" t="s">
        <v>27</v>
      </c>
      <c r="C15" s="27">
        <v>44886</v>
      </c>
      <c r="D15" s="27">
        <v>44897</v>
      </c>
      <c r="E15" s="27">
        <v>44886</v>
      </c>
      <c r="F15" s="27">
        <v>44890</v>
      </c>
      <c r="G15" s="19" t="str" cm="1">
        <f t="array" ref="G15">GetTaskStatus(E15,F15)</f>
        <v>Complete</v>
      </c>
      <c r="H15" s="28" cm="1">
        <f t="array" ref="H15">CalculateProgress(Table1[[#This Row],[Expected Start Date]],Table1[[#This Row],[Expected Complete Date]],Table1[[#This Row],[Status]])</f>
        <v>0</v>
      </c>
      <c r="I15" s="22"/>
      <c r="J15" s="22"/>
      <c r="K15" s="22"/>
      <c r="L15" s="22"/>
      <c r="M15" s="22"/>
      <c r="N15" s="22"/>
      <c r="O15" s="22"/>
      <c r="P15" s="22"/>
      <c r="Q15" s="22"/>
    </row>
    <row r="16" spans="1:17" x14ac:dyDescent="0.3">
      <c r="A16" s="25">
        <v>15</v>
      </c>
      <c r="B16" s="25" t="s">
        <v>28</v>
      </c>
      <c r="C16" s="27">
        <v>44890</v>
      </c>
      <c r="D16" s="27">
        <v>44897</v>
      </c>
      <c r="E16" s="27"/>
      <c r="F16" s="19"/>
      <c r="G16" s="19" t="str" cm="1">
        <f t="array" ref="G16">GetTaskStatus(E16,F16)</f>
        <v>Pending</v>
      </c>
      <c r="H16" s="28" cm="1">
        <f t="array" ref="H16">CalculateProgress(Table1[[#This Row],[Expected Start Date]],Table1[[#This Row],[Expected Complete Date]],Table1[[#This Row],[Status]])</f>
        <v>0.5714285714285714</v>
      </c>
      <c r="I16" s="22"/>
      <c r="J16" s="22"/>
      <c r="K16" s="22"/>
      <c r="L16" s="22"/>
      <c r="M16" s="22"/>
      <c r="N16" s="22"/>
      <c r="O16" s="22"/>
      <c r="P16" s="22"/>
      <c r="Q16" s="22"/>
    </row>
    <row r="17" spans="1:17" x14ac:dyDescent="0.3">
      <c r="A17" s="25">
        <v>16</v>
      </c>
      <c r="B17" s="25" t="s">
        <v>29</v>
      </c>
      <c r="C17" s="27">
        <v>44886</v>
      </c>
      <c r="D17" s="27">
        <v>44897</v>
      </c>
      <c r="E17" s="27"/>
      <c r="F17" s="19"/>
      <c r="G17" s="19" t="str" cm="1">
        <f t="array" ref="G17">GetTaskStatus(E17,F17)</f>
        <v>Pending</v>
      </c>
      <c r="H17" s="28" cm="1">
        <f t="array" ref="H17">CalculateProgress(Table1[[#This Row],[Expected Start Date]],Table1[[#This Row],[Expected Complete Date]],Table1[[#This Row],[Status]])</f>
        <v>0.72727272727272729</v>
      </c>
      <c r="I17" s="22"/>
      <c r="J17" s="22"/>
      <c r="K17" s="22"/>
      <c r="L17" s="22"/>
      <c r="M17" s="22"/>
      <c r="N17" s="22"/>
      <c r="O17" s="22"/>
      <c r="P17" s="22"/>
      <c r="Q17" s="22"/>
    </row>
    <row r="18" spans="1:17" x14ac:dyDescent="0.3">
      <c r="A18" s="25">
        <v>17</v>
      </c>
      <c r="B18" s="25" t="s">
        <v>30</v>
      </c>
      <c r="C18" s="26">
        <v>44893</v>
      </c>
      <c r="D18" s="27">
        <v>44897</v>
      </c>
      <c r="E18" s="27"/>
      <c r="F18" s="19"/>
      <c r="G18" s="19" t="str" cm="1">
        <f t="array" ref="G18">GetTaskStatus(E18,F18)</f>
        <v>Pending</v>
      </c>
      <c r="H18" s="28" cm="1">
        <f t="array" ref="H18">CalculateProgress(Table1[[#This Row],[Expected Start Date]],Table1[[#This Row],[Expected Complete Date]],Table1[[#This Row],[Status]])</f>
        <v>0.25</v>
      </c>
      <c r="I18" s="22"/>
      <c r="J18" s="22"/>
      <c r="K18" s="22"/>
      <c r="L18" s="22"/>
      <c r="M18" s="22"/>
      <c r="N18" s="22"/>
      <c r="O18" s="22"/>
      <c r="P18" s="22"/>
      <c r="Q18" s="22"/>
    </row>
    <row r="19" spans="1:17" x14ac:dyDescent="0.3">
      <c r="A19" s="25">
        <v>18</v>
      </c>
      <c r="B19" s="25" t="s">
        <v>31</v>
      </c>
      <c r="C19" s="27">
        <v>44886</v>
      </c>
      <c r="D19" s="27">
        <v>44897</v>
      </c>
      <c r="E19" s="27"/>
      <c r="F19" s="19"/>
      <c r="G19" s="19" t="str" cm="1">
        <f t="array" ref="G19">GetTaskStatus(E19,F19)</f>
        <v>Pending</v>
      </c>
      <c r="H19" s="28" cm="1">
        <f t="array" ref="H19">CalculateProgress(Table1[[#This Row],[Expected Start Date]],Table1[[#This Row],[Expected Complete Date]],Table1[[#This Row],[Status]])</f>
        <v>0.72727272727272729</v>
      </c>
      <c r="I19" s="22"/>
      <c r="J19" s="22"/>
      <c r="K19" s="22"/>
      <c r="L19" s="22"/>
      <c r="M19" s="22"/>
      <c r="N19" s="22"/>
      <c r="O19" s="22"/>
      <c r="P19" s="22"/>
      <c r="Q19" s="22"/>
    </row>
    <row r="20" spans="1:17" x14ac:dyDescent="0.3">
      <c r="A20" s="25">
        <v>19</v>
      </c>
      <c r="B20" s="25" t="s">
        <v>32</v>
      </c>
      <c r="C20" s="27">
        <v>44890</v>
      </c>
      <c r="D20" s="27">
        <v>44897</v>
      </c>
      <c r="E20" s="27"/>
      <c r="F20" s="19"/>
      <c r="G20" s="19" t="str" cm="1">
        <f t="array" ref="G20">GetTaskStatus(E20,F20)</f>
        <v>Pending</v>
      </c>
      <c r="H20" s="28" cm="1">
        <f t="array" ref="H20">CalculateProgress(Table1[[#This Row],[Expected Start Date]],Table1[[#This Row],[Expected Complete Date]],Table1[[#This Row],[Status]])</f>
        <v>0.5714285714285714</v>
      </c>
      <c r="I20" s="22"/>
      <c r="J20" s="22"/>
      <c r="K20" s="22"/>
      <c r="L20" s="22"/>
      <c r="M20" s="22"/>
      <c r="N20" s="22"/>
      <c r="O20" s="22"/>
      <c r="P20" s="22"/>
      <c r="Q20" s="22"/>
    </row>
    <row r="21" spans="1:17" x14ac:dyDescent="0.3">
      <c r="A21" s="25">
        <v>20</v>
      </c>
      <c r="B21" s="25" t="s">
        <v>33</v>
      </c>
      <c r="C21" s="27">
        <v>44890</v>
      </c>
      <c r="D21" s="27">
        <v>44897</v>
      </c>
      <c r="E21" s="27"/>
      <c r="F21" s="19"/>
      <c r="G21" s="19" t="str" cm="1">
        <f t="array" ref="G21">GetTaskStatus(E21,F21)</f>
        <v>Pending</v>
      </c>
      <c r="H21" s="28" cm="1">
        <f t="array" ref="H21">CalculateProgress(Table1[[#This Row],[Expected Start Date]],Table1[[#This Row],[Expected Complete Date]],Table1[[#This Row],[Status]])</f>
        <v>0.5714285714285714</v>
      </c>
      <c r="I21" s="22"/>
      <c r="J21" s="22"/>
      <c r="K21" s="22"/>
      <c r="L21" s="22"/>
      <c r="M21" s="22"/>
      <c r="N21" s="22"/>
      <c r="O21" s="22"/>
      <c r="P21" s="22"/>
      <c r="Q21" s="22"/>
    </row>
    <row r="22" spans="1:17" x14ac:dyDescent="0.3">
      <c r="A22" s="25">
        <v>21</v>
      </c>
      <c r="B22" s="25" t="s">
        <v>34</v>
      </c>
      <c r="C22" s="27">
        <v>44886</v>
      </c>
      <c r="D22" s="27">
        <v>44897</v>
      </c>
      <c r="E22" s="27"/>
      <c r="F22" s="19"/>
      <c r="G22" s="19" t="str" cm="1">
        <f t="array" ref="G22">GetTaskStatus(E22,F22)</f>
        <v>Pending</v>
      </c>
      <c r="H22" s="28" cm="1">
        <f t="array" ref="H22">CalculateProgress(Table1[[#This Row],[Expected Start Date]],Table1[[#This Row],[Expected Complete Date]],Table1[[#This Row],[Status]])</f>
        <v>0.72727272727272729</v>
      </c>
      <c r="I22" s="22"/>
      <c r="J22" s="22"/>
      <c r="K22" s="22"/>
      <c r="L22" s="22"/>
      <c r="M22" s="22"/>
      <c r="N22" s="22"/>
      <c r="O22" s="22"/>
      <c r="P22" s="22"/>
      <c r="Q22" s="22"/>
    </row>
    <row r="23" spans="1:17" x14ac:dyDescent="0.3">
      <c r="A23" s="25">
        <v>22</v>
      </c>
      <c r="B23" s="25" t="s">
        <v>35</v>
      </c>
      <c r="C23" s="26">
        <v>44893</v>
      </c>
      <c r="D23" s="27">
        <v>44897</v>
      </c>
      <c r="E23" s="27"/>
      <c r="F23" s="19"/>
      <c r="G23" s="19" t="str" cm="1">
        <f t="array" ref="G23">GetTaskStatus(E23,F23)</f>
        <v>Pending</v>
      </c>
      <c r="H23" s="28" cm="1">
        <f t="array" ref="H23">CalculateProgress(Table1[[#This Row],[Expected Start Date]],Table1[[#This Row],[Expected Complete Date]],Table1[[#This Row],[Status]])</f>
        <v>0.25</v>
      </c>
      <c r="I23" s="22"/>
      <c r="J23" s="22"/>
      <c r="K23" s="22"/>
      <c r="L23" s="22"/>
      <c r="M23" s="22"/>
      <c r="N23" s="22"/>
      <c r="O23" s="22"/>
      <c r="P23" s="22"/>
      <c r="Q23" s="22"/>
    </row>
    <row r="24" spans="1:17" x14ac:dyDescent="0.3">
      <c r="A24" s="25">
        <v>23</v>
      </c>
      <c r="B24" s="25" t="s">
        <v>36</v>
      </c>
      <c r="C24" s="27">
        <v>44886</v>
      </c>
      <c r="D24" s="27">
        <v>44897</v>
      </c>
      <c r="E24" s="27"/>
      <c r="F24" s="19"/>
      <c r="G24" s="19" t="str" cm="1">
        <f t="array" ref="G24">GetTaskStatus(E24,F24)</f>
        <v>Pending</v>
      </c>
      <c r="H24" s="28" cm="1">
        <f t="array" ref="H24">CalculateProgress(Table1[[#This Row],[Expected Start Date]],Table1[[#This Row],[Expected Complete Date]],Table1[[#This Row],[Status]])</f>
        <v>0.72727272727272729</v>
      </c>
      <c r="I24" s="22"/>
      <c r="J24" s="22"/>
      <c r="K24" s="22"/>
      <c r="L24" s="22"/>
      <c r="M24" s="22"/>
      <c r="N24" s="22"/>
      <c r="O24" s="22"/>
      <c r="P24" s="22"/>
      <c r="Q24" s="22"/>
    </row>
    <row r="25" spans="1:17" x14ac:dyDescent="0.3">
      <c r="A25" s="25">
        <v>24</v>
      </c>
      <c r="B25" s="25" t="s">
        <v>37</v>
      </c>
      <c r="C25" s="27">
        <v>44886</v>
      </c>
      <c r="D25" s="27">
        <v>44897</v>
      </c>
      <c r="E25" s="27">
        <v>44886</v>
      </c>
      <c r="F25" s="27">
        <v>44890</v>
      </c>
      <c r="G25" s="19" t="str" cm="1">
        <f t="array" ref="G25">GetTaskStatus(E25,F25)</f>
        <v>Complete</v>
      </c>
      <c r="H25" s="28" cm="1">
        <f t="array" ref="H25">CalculateProgress(Table1[[#This Row],[Expected Start Date]],Table1[[#This Row],[Expected Complete Date]],Table1[[#This Row],[Status]])</f>
        <v>0</v>
      </c>
      <c r="I25" s="22"/>
      <c r="J25" s="22"/>
      <c r="K25" s="22"/>
      <c r="L25" s="22"/>
      <c r="M25" s="22"/>
      <c r="N25" s="22"/>
      <c r="O25" s="22"/>
      <c r="P25" s="22"/>
      <c r="Q25" s="22"/>
    </row>
    <row r="26" spans="1:17" x14ac:dyDescent="0.3">
      <c r="A26" s="45">
        <v>25</v>
      </c>
      <c r="B26" s="25" t="s">
        <v>38</v>
      </c>
      <c r="C26" s="27">
        <v>44866</v>
      </c>
      <c r="D26" s="27">
        <v>44897</v>
      </c>
      <c r="E26" s="27">
        <v>44866</v>
      </c>
      <c r="F26" s="27"/>
      <c r="G26" s="19" t="str" cm="1">
        <f t="array" ref="G26">GetTaskStatus(E26,F26)</f>
        <v>In Progress</v>
      </c>
      <c r="H26" s="28" cm="1">
        <f t="array" ref="H26">CalculateProgress(Table1[[#This Row],[Expected Start Date]],Table1[[#This Row],[Expected Complete Date]],Table1[[#This Row],[Status]])</f>
        <v>0.90322580645161288</v>
      </c>
      <c r="I26" s="22"/>
      <c r="J26" s="22"/>
      <c r="K26" s="22"/>
      <c r="L26" s="22"/>
      <c r="M26" s="22"/>
      <c r="N26" s="22"/>
      <c r="O26" s="22"/>
      <c r="P26" s="22"/>
      <c r="Q26" s="22"/>
    </row>
    <row r="27" spans="1:17" x14ac:dyDescent="0.3">
      <c r="A27" s="45">
        <v>26</v>
      </c>
      <c r="B27" s="25" t="s">
        <v>39</v>
      </c>
      <c r="C27" s="27">
        <v>44866</v>
      </c>
      <c r="D27" s="27">
        <v>44897</v>
      </c>
      <c r="E27" s="27">
        <v>44866</v>
      </c>
      <c r="F27" s="27">
        <v>44893</v>
      </c>
      <c r="G27" s="19" t="str" cm="1">
        <f t="array" ref="G27">GetTaskStatus(E27,F27)</f>
        <v>Complete</v>
      </c>
      <c r="H27" s="28" cm="1">
        <f t="array" ref="H27">CalculateProgress(Table1[[#This Row],[Expected Start Date]],Table1[[#This Row],[Expected Complete Date]],Table1[[#This Row],[Status]])</f>
        <v>0</v>
      </c>
      <c r="I27" s="22"/>
      <c r="J27" s="22"/>
      <c r="K27" s="22"/>
      <c r="L27" s="22"/>
      <c r="M27" s="22"/>
      <c r="N27" s="22"/>
      <c r="O27" s="22"/>
      <c r="P27" s="22"/>
      <c r="Q27" s="22"/>
    </row>
    <row r="28" spans="1:17" x14ac:dyDescent="0.3">
      <c r="A28" s="45">
        <v>27</v>
      </c>
      <c r="B28" s="25" t="s">
        <v>40</v>
      </c>
      <c r="C28" s="27">
        <v>44866</v>
      </c>
      <c r="D28" s="27">
        <v>44885</v>
      </c>
      <c r="E28" s="27">
        <v>44866</v>
      </c>
      <c r="F28" s="27">
        <v>44893</v>
      </c>
      <c r="G28" s="19" t="str" cm="1">
        <f t="array" ref="G28">GetTaskStatus(E28,F28)</f>
        <v>Complete</v>
      </c>
      <c r="H28" s="28" cm="1">
        <f t="array" ref="H28">CalculateProgress(Table1[[#This Row],[Expected Start Date]],Table1[[#This Row],[Expected Complete Date]],Table1[[#This Row],[Status]])</f>
        <v>0</v>
      </c>
      <c r="I28" s="22"/>
      <c r="J28" s="22"/>
      <c r="K28" s="22"/>
      <c r="L28" s="22"/>
      <c r="M28" s="22"/>
      <c r="N28" s="22"/>
      <c r="O28" s="22"/>
      <c r="P28" s="22"/>
      <c r="Q28" s="22"/>
    </row>
    <row r="29" spans="1:17" x14ac:dyDescent="0.3">
      <c r="A29" s="45">
        <v>28</v>
      </c>
      <c r="B29" s="25" t="s">
        <v>41</v>
      </c>
      <c r="C29" s="27">
        <v>44866</v>
      </c>
      <c r="D29" s="27">
        <v>44897</v>
      </c>
      <c r="E29" s="27">
        <v>44867</v>
      </c>
      <c r="F29" s="27">
        <v>44893</v>
      </c>
      <c r="G29" s="19" t="str" cm="1">
        <f t="array" ref="G29">GetTaskStatus(E29,F29)</f>
        <v>Complete</v>
      </c>
      <c r="H29" s="28" cm="1">
        <f t="array" ref="H29">CalculateProgress(Table1[[#This Row],[Expected Start Date]],Table1[[#This Row],[Expected Complete Date]],Table1[[#This Row],[Status]])</f>
        <v>0</v>
      </c>
      <c r="I29" s="22"/>
      <c r="J29" s="22"/>
      <c r="K29" s="22"/>
      <c r="L29" s="22"/>
      <c r="M29" s="22"/>
      <c r="N29" s="22"/>
      <c r="O29" s="22"/>
      <c r="P29" s="22"/>
      <c r="Q29" s="22"/>
    </row>
    <row r="30" spans="1:17" x14ac:dyDescent="0.3">
      <c r="A30" s="45">
        <v>29</v>
      </c>
      <c r="B30" s="25" t="s">
        <v>42</v>
      </c>
      <c r="C30" s="27">
        <v>44866</v>
      </c>
      <c r="D30" s="27">
        <v>44885</v>
      </c>
      <c r="E30" s="27">
        <v>44867</v>
      </c>
      <c r="F30" s="27">
        <v>44886</v>
      </c>
      <c r="G30" s="19" t="str" cm="1">
        <f t="array" ref="G30">GetTaskStatus(E30,F30)</f>
        <v>Complete</v>
      </c>
      <c r="H30" s="28" cm="1">
        <f t="array" ref="H30">CalculateProgress(Table1[[#This Row],[Expected Start Date]],Table1[[#This Row],[Expected Complete Date]],Table1[[#This Row],[Status]])</f>
        <v>0</v>
      </c>
      <c r="I30" s="22"/>
      <c r="J30" s="22"/>
      <c r="K30" s="22"/>
      <c r="L30" s="22"/>
      <c r="M30" s="22"/>
    </row>
    <row r="31" spans="1:17" x14ac:dyDescent="0.3">
      <c r="A31" s="45">
        <v>30</v>
      </c>
      <c r="B31" s="25" t="s">
        <v>43</v>
      </c>
      <c r="C31" s="27">
        <v>44896</v>
      </c>
      <c r="D31" s="27">
        <v>44920</v>
      </c>
      <c r="E31" s="27"/>
      <c r="F31" s="27"/>
      <c r="G31" s="19" t="str" cm="1">
        <f t="array" ref="G31">GetTaskStatus(E31,F31)</f>
        <v>Pending</v>
      </c>
      <c r="H31" s="28" cm="1">
        <f t="array" ref="H31">CalculateProgress(Table1[[#This Row],[Expected Start Date]],Table1[[#This Row],[Expected Complete Date]],Table1[[#This Row],[Status]])</f>
        <v>0</v>
      </c>
      <c r="I31" s="22"/>
      <c r="J31" s="22"/>
      <c r="K31" s="22"/>
      <c r="L31" s="22"/>
      <c r="M31" s="22"/>
    </row>
    <row r="32" spans="1:17" x14ac:dyDescent="0.3">
      <c r="A32" s="22"/>
      <c r="B32" s="22"/>
      <c r="C32" s="22"/>
      <c r="D32" s="22"/>
      <c r="E32" s="22"/>
      <c r="F32" s="22"/>
      <c r="G32" s="22"/>
      <c r="H32" s="23"/>
      <c r="I32" s="22"/>
      <c r="J32" s="22"/>
      <c r="K32" s="22"/>
      <c r="L32" s="22"/>
      <c r="M32" s="22"/>
    </row>
    <row r="33" spans="1:13" x14ac:dyDescent="0.3">
      <c r="A33" s="22"/>
      <c r="B33" s="22"/>
      <c r="C33" s="22"/>
      <c r="D33" s="22"/>
      <c r="E33" s="22"/>
      <c r="F33" s="22"/>
      <c r="G33" s="22"/>
      <c r="H33" s="23"/>
      <c r="I33" s="22"/>
      <c r="J33" s="22"/>
      <c r="K33" s="22"/>
      <c r="L33" s="22"/>
      <c r="M33" s="22"/>
    </row>
    <row r="34" spans="1:13" x14ac:dyDescent="0.3">
      <c r="A34" s="22"/>
      <c r="B34" s="22"/>
      <c r="C34" s="22"/>
      <c r="D34" s="22"/>
      <c r="E34" s="22"/>
      <c r="F34" s="22"/>
      <c r="G34" s="22"/>
      <c r="H34" s="23"/>
      <c r="I34" s="22"/>
      <c r="J34" s="22"/>
      <c r="K34" s="22"/>
      <c r="L34" s="22"/>
      <c r="M34" s="22"/>
    </row>
    <row r="35" spans="1:13" x14ac:dyDescent="0.3">
      <c r="A35" s="22"/>
      <c r="B35" s="22"/>
      <c r="C35" s="22"/>
      <c r="D35" s="22"/>
      <c r="E35" s="22"/>
      <c r="F35" s="22"/>
      <c r="G35" s="22"/>
      <c r="H35" s="23"/>
      <c r="I35" s="22"/>
      <c r="J35" s="22"/>
      <c r="K35" s="22"/>
      <c r="L35" s="22"/>
      <c r="M35" s="22"/>
    </row>
    <row r="36" spans="1:13" x14ac:dyDescent="0.3">
      <c r="A36" s="22"/>
      <c r="B36" s="22"/>
      <c r="C36" s="22"/>
      <c r="D36" s="22"/>
      <c r="E36" s="22"/>
      <c r="F36" s="22"/>
      <c r="G36" s="22"/>
      <c r="H36" s="23"/>
      <c r="I36" s="22"/>
      <c r="J36" s="22"/>
      <c r="K36" s="22"/>
      <c r="L36" s="22"/>
      <c r="M36" s="22"/>
    </row>
    <row r="37" spans="1:13" x14ac:dyDescent="0.3">
      <c r="A37" s="22"/>
      <c r="B37" s="22"/>
      <c r="C37" s="22"/>
      <c r="D37" s="22"/>
      <c r="E37" s="22"/>
      <c r="F37" s="22"/>
      <c r="G37" s="22"/>
      <c r="H37" s="23"/>
      <c r="I37" s="22"/>
      <c r="J37" s="22"/>
      <c r="K37" s="22"/>
      <c r="L37" s="22"/>
      <c r="M37" s="22"/>
    </row>
    <row r="38" spans="1:13" x14ac:dyDescent="0.3">
      <c r="A38" s="22"/>
      <c r="B38" s="22"/>
      <c r="C38" s="22"/>
      <c r="D38" s="22"/>
      <c r="E38" s="22"/>
      <c r="F38" s="22"/>
      <c r="G38" s="22"/>
      <c r="H38" s="23"/>
      <c r="I38" s="22"/>
      <c r="J38" s="22"/>
      <c r="K38" s="22"/>
      <c r="L38" s="22"/>
      <c r="M38" s="22"/>
    </row>
    <row r="39" spans="1:13" x14ac:dyDescent="0.3">
      <c r="A39" s="22"/>
      <c r="B39" s="22"/>
      <c r="C39" s="22"/>
      <c r="D39" s="22"/>
      <c r="E39" s="22"/>
      <c r="F39" s="22"/>
      <c r="G39" s="22"/>
      <c r="H39" s="23"/>
      <c r="I39" s="22"/>
      <c r="J39" s="22"/>
      <c r="K39" s="22"/>
      <c r="L39" s="22"/>
      <c r="M39" s="22"/>
    </row>
    <row r="40" spans="1:13" x14ac:dyDescent="0.3">
      <c r="A40" s="22"/>
      <c r="B40" s="22"/>
      <c r="C40" s="22"/>
      <c r="D40" s="22"/>
      <c r="E40" s="22"/>
      <c r="F40" s="22"/>
      <c r="G40" s="22"/>
      <c r="H40" s="23"/>
      <c r="I40" s="22"/>
      <c r="J40" s="22"/>
      <c r="K40" s="22"/>
      <c r="L40" s="22"/>
      <c r="M40" s="22"/>
    </row>
    <row r="41" spans="1:13" x14ac:dyDescent="0.3">
      <c r="A41" s="22"/>
      <c r="B41" s="22"/>
      <c r="C41" s="22"/>
      <c r="D41" s="22"/>
      <c r="E41" s="22"/>
      <c r="F41" s="22"/>
      <c r="G41" s="22"/>
      <c r="H41" s="23"/>
      <c r="I41" s="22"/>
      <c r="J41" s="22"/>
      <c r="K41" s="22"/>
      <c r="L41" s="22"/>
      <c r="M41" s="22"/>
    </row>
    <row r="42" spans="1:13" x14ac:dyDescent="0.3">
      <c r="A42" s="22"/>
      <c r="B42" s="22"/>
      <c r="C42" s="22"/>
      <c r="D42" s="22"/>
      <c r="E42" s="22"/>
      <c r="F42" s="22"/>
      <c r="G42" s="22"/>
      <c r="H42" s="23"/>
      <c r="I42" s="22"/>
      <c r="J42" s="22"/>
      <c r="K42" s="22"/>
      <c r="L42" s="22"/>
      <c r="M42" s="22"/>
    </row>
    <row r="43" spans="1:13" x14ac:dyDescent="0.3">
      <c r="A43" s="22"/>
      <c r="B43" s="22"/>
      <c r="C43" s="22"/>
      <c r="D43" s="22"/>
      <c r="E43" s="22"/>
      <c r="F43" s="22"/>
      <c r="G43" s="22"/>
      <c r="H43" s="23"/>
      <c r="I43" s="22"/>
      <c r="J43" s="22"/>
      <c r="K43" s="22"/>
      <c r="L43" s="22"/>
      <c r="M43" s="22"/>
    </row>
    <row r="44" spans="1:13" x14ac:dyDescent="0.3">
      <c r="A44" s="22"/>
      <c r="B44" s="22"/>
      <c r="C44" s="22"/>
      <c r="D44" s="22"/>
      <c r="E44" s="22"/>
      <c r="F44" s="22"/>
      <c r="G44" s="22"/>
      <c r="H44" s="23"/>
      <c r="I44" s="22"/>
      <c r="J44" s="22"/>
      <c r="K44" s="22"/>
      <c r="L44" s="22"/>
      <c r="M44" s="22"/>
    </row>
    <row r="45" spans="1:13" x14ac:dyDescent="0.3">
      <c r="A45" s="22"/>
      <c r="B45" s="22"/>
      <c r="C45" s="22"/>
      <c r="D45" s="22"/>
      <c r="E45" s="22"/>
      <c r="F45" s="22"/>
      <c r="G45" s="22"/>
      <c r="H45" s="23"/>
      <c r="I45" s="22"/>
      <c r="J45" s="22"/>
      <c r="K45" s="22"/>
      <c r="L45" s="22"/>
      <c r="M45" s="22"/>
    </row>
    <row r="46" spans="1:13" x14ac:dyDescent="0.3">
      <c r="A46" s="22"/>
      <c r="B46" s="22"/>
      <c r="C46" s="22"/>
      <c r="D46" s="22"/>
      <c r="E46" s="22"/>
      <c r="F46" s="22"/>
      <c r="G46" s="22"/>
      <c r="H46" s="23"/>
      <c r="I46" s="22"/>
      <c r="J46" s="22"/>
      <c r="K46" s="22"/>
      <c r="L46" s="22"/>
      <c r="M46" s="22"/>
    </row>
    <row r="47" spans="1:13" x14ac:dyDescent="0.3">
      <c r="A47" s="22"/>
      <c r="B47" s="22"/>
      <c r="C47" s="22"/>
      <c r="D47" s="22"/>
      <c r="E47" s="22"/>
      <c r="F47" s="22"/>
      <c r="G47" s="22"/>
      <c r="H47" s="23"/>
      <c r="I47" s="22"/>
      <c r="J47" s="22"/>
      <c r="K47" s="22"/>
      <c r="L47" s="22"/>
      <c r="M47" s="22"/>
    </row>
    <row r="48" spans="1:13" x14ac:dyDescent="0.3">
      <c r="A48" s="22"/>
      <c r="B48" s="22"/>
      <c r="C48" s="22"/>
      <c r="D48" s="22"/>
      <c r="E48" s="22"/>
      <c r="F48" s="22"/>
      <c r="G48" s="22"/>
      <c r="H48" s="23"/>
      <c r="I48" s="22"/>
      <c r="J48" s="22"/>
      <c r="K48" s="22"/>
      <c r="L48" s="22"/>
      <c r="M48" s="22"/>
    </row>
    <row r="49" spans="1:13" x14ac:dyDescent="0.3">
      <c r="A49" s="22"/>
      <c r="B49" s="22"/>
      <c r="C49" s="22"/>
      <c r="D49" s="22"/>
      <c r="E49" s="22"/>
      <c r="F49" s="22"/>
      <c r="G49" s="22"/>
      <c r="H49" s="23"/>
      <c r="I49" s="22"/>
      <c r="J49" s="22"/>
      <c r="K49" s="22"/>
      <c r="L49" s="22"/>
      <c r="M49" s="22"/>
    </row>
  </sheetData>
  <mergeCells count="3">
    <mergeCell ref="L10:M10"/>
    <mergeCell ref="L8:M9"/>
    <mergeCell ref="K8:K9"/>
  </mergeCells>
  <phoneticPr fontId="1" type="noConversion"/>
  <dataValidations count="1">
    <dataValidation type="list" allowBlank="1" showInputMessage="1" showErrorMessage="1" sqref="L7" xr:uid="{3B32E9E5-5385-48DA-9669-847376325225}">
      <formula1>$A$2:$A$31</formula1>
    </dataValidation>
  </dataValidation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Reports">
                <anchor moveWithCells="1">
                  <from>
                    <xdr:col>9</xdr:col>
                    <xdr:colOff>15240</xdr:colOff>
                    <xdr:row>0</xdr:row>
                    <xdr:rowOff>0</xdr:rowOff>
                  </from>
                  <to>
                    <xdr:col>9</xdr:col>
                    <xdr:colOff>1028700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6495-62A4-49A3-BF07-DEC4A4BF3173}">
  <sheetPr codeName="Sheet2"/>
  <dimension ref="A1:H26"/>
  <sheetViews>
    <sheetView workbookViewId="0">
      <selection activeCell="B3" sqref="B3"/>
    </sheetView>
  </sheetViews>
  <sheetFormatPr defaultRowHeight="14.4" x14ac:dyDescent="0.3"/>
  <cols>
    <col min="1" max="1" width="10.109375" customWidth="1"/>
    <col min="2" max="2" width="16.5546875" customWidth="1"/>
    <col min="3" max="3" width="19.33203125" customWidth="1"/>
    <col min="4" max="4" width="23.44140625" customWidth="1"/>
    <col min="5" max="5" width="17.21875" customWidth="1"/>
    <col min="6" max="6" width="21.109375" customWidth="1"/>
    <col min="7" max="8" width="10.44140625" customWidth="1"/>
  </cols>
  <sheetData>
    <row r="1" spans="1:8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9" t="s">
        <v>5</v>
      </c>
      <c r="G1" s="19"/>
      <c r="H1" s="19"/>
    </row>
    <row r="2" spans="1:8" x14ac:dyDescent="0.3">
      <c r="A2" s="13"/>
      <c r="B2" s="14"/>
      <c r="C2" s="12"/>
      <c r="D2" s="12"/>
      <c r="E2" s="12"/>
      <c r="F2" s="11"/>
      <c r="G2" s="20"/>
      <c r="H2" s="20"/>
    </row>
    <row r="3" spans="1:8" x14ac:dyDescent="0.3">
      <c r="A3" s="13"/>
      <c r="B3" s="14"/>
      <c r="C3" s="12"/>
      <c r="D3" s="12"/>
      <c r="E3" s="12"/>
      <c r="F3" s="11"/>
      <c r="G3" s="20"/>
      <c r="H3" s="20"/>
    </row>
    <row r="4" spans="1:8" x14ac:dyDescent="0.3">
      <c r="A4" s="13"/>
      <c r="B4" s="14"/>
      <c r="C4" s="12"/>
      <c r="D4" s="12"/>
      <c r="E4" s="12"/>
      <c r="F4" s="11"/>
      <c r="G4" s="20"/>
      <c r="H4" s="20"/>
    </row>
    <row r="5" spans="1:8" x14ac:dyDescent="0.3">
      <c r="A5" s="13"/>
      <c r="B5" s="14"/>
      <c r="C5" s="12"/>
      <c r="D5" s="12"/>
      <c r="E5" s="12"/>
      <c r="F5" s="11"/>
      <c r="G5" s="20"/>
      <c r="H5" s="20"/>
    </row>
    <row r="6" spans="1:8" x14ac:dyDescent="0.3">
      <c r="A6" s="13"/>
      <c r="B6" s="14"/>
      <c r="C6" s="12"/>
      <c r="D6" s="12"/>
      <c r="E6" s="12"/>
      <c r="F6" s="11"/>
      <c r="G6" s="20"/>
      <c r="H6" s="20"/>
    </row>
    <row r="7" spans="1:8" x14ac:dyDescent="0.3">
      <c r="A7" s="13"/>
      <c r="B7" s="14"/>
      <c r="C7" s="12"/>
      <c r="D7" s="12"/>
      <c r="E7" s="12"/>
      <c r="F7" s="11"/>
      <c r="G7" s="20"/>
      <c r="H7" s="20"/>
    </row>
    <row r="8" spans="1:8" x14ac:dyDescent="0.3">
      <c r="A8" s="13"/>
      <c r="B8" s="14"/>
      <c r="C8" s="12"/>
      <c r="D8" s="12"/>
      <c r="E8" s="12"/>
      <c r="F8" s="11"/>
      <c r="G8" s="20"/>
      <c r="H8" s="20"/>
    </row>
    <row r="9" spans="1:8" x14ac:dyDescent="0.3">
      <c r="A9" s="13"/>
      <c r="B9" s="14"/>
      <c r="C9" s="12"/>
      <c r="D9" s="12"/>
      <c r="E9" s="12"/>
      <c r="F9" s="11"/>
      <c r="G9" s="20"/>
      <c r="H9" s="20"/>
    </row>
    <row r="10" spans="1:8" x14ac:dyDescent="0.3">
      <c r="A10" s="13"/>
      <c r="B10" s="14"/>
      <c r="C10" s="12"/>
      <c r="D10" s="12"/>
      <c r="E10" s="12"/>
      <c r="F10" s="11"/>
      <c r="G10" s="20"/>
      <c r="H10" s="20"/>
    </row>
    <row r="11" spans="1:8" x14ac:dyDescent="0.3">
      <c r="A11" s="13"/>
      <c r="B11" s="14"/>
      <c r="C11" s="12"/>
      <c r="D11" s="12"/>
      <c r="E11" s="12"/>
      <c r="F11" s="11"/>
      <c r="G11" s="20"/>
      <c r="H11" s="20"/>
    </row>
    <row r="12" spans="1:8" x14ac:dyDescent="0.3">
      <c r="A12" s="13"/>
      <c r="B12" s="14"/>
      <c r="C12" s="12"/>
      <c r="D12" s="12"/>
      <c r="E12" s="12"/>
      <c r="F12" s="11"/>
      <c r="G12" s="20"/>
      <c r="H12" s="20"/>
    </row>
    <row r="13" spans="1:8" x14ac:dyDescent="0.3">
      <c r="A13" s="13"/>
      <c r="B13" s="14"/>
      <c r="C13" s="12"/>
      <c r="D13" s="12"/>
      <c r="E13" s="12"/>
      <c r="F13" s="11"/>
      <c r="G13" s="20"/>
      <c r="H13" s="20"/>
    </row>
    <row r="14" spans="1:8" x14ac:dyDescent="0.3">
      <c r="A14" s="13"/>
      <c r="B14" s="14"/>
      <c r="C14" s="12"/>
      <c r="D14" s="12"/>
      <c r="E14" s="12"/>
      <c r="F14" s="11"/>
      <c r="G14" s="20"/>
      <c r="H14" s="20"/>
    </row>
    <row r="15" spans="1:8" x14ac:dyDescent="0.3">
      <c r="A15" s="13"/>
      <c r="B15" s="14"/>
      <c r="C15" s="12"/>
      <c r="D15" s="12"/>
      <c r="E15" s="12"/>
      <c r="F15" s="11"/>
      <c r="G15" s="20"/>
      <c r="H15" s="20"/>
    </row>
    <row r="16" spans="1:8" x14ac:dyDescent="0.3">
      <c r="A16" s="13"/>
      <c r="B16" s="14"/>
      <c r="C16" s="12"/>
      <c r="D16" s="12"/>
      <c r="E16" s="12"/>
      <c r="F16" s="11"/>
      <c r="G16" s="20"/>
      <c r="H16" s="20"/>
    </row>
    <row r="17" spans="1:8" x14ac:dyDescent="0.3">
      <c r="A17" s="13"/>
      <c r="B17" s="14"/>
      <c r="C17" s="12"/>
      <c r="D17" s="12"/>
      <c r="E17" s="12"/>
      <c r="F17" s="11"/>
      <c r="G17" s="20"/>
      <c r="H17" s="20"/>
    </row>
    <row r="18" spans="1:8" x14ac:dyDescent="0.3">
      <c r="A18" s="13"/>
      <c r="B18" s="14"/>
      <c r="C18" s="12"/>
      <c r="D18" s="12"/>
      <c r="E18" s="12"/>
      <c r="F18" s="11"/>
      <c r="G18" s="20"/>
      <c r="H18" s="20"/>
    </row>
    <row r="19" spans="1:8" x14ac:dyDescent="0.3">
      <c r="A19" s="13"/>
      <c r="B19" s="14"/>
      <c r="C19" s="12"/>
      <c r="D19" s="12"/>
      <c r="E19" s="12"/>
      <c r="F19" s="11"/>
      <c r="G19" s="20"/>
      <c r="H19" s="20"/>
    </row>
    <row r="20" spans="1:8" x14ac:dyDescent="0.3">
      <c r="A20" s="13"/>
      <c r="B20" s="14"/>
      <c r="C20" s="12"/>
      <c r="D20" s="12"/>
      <c r="E20" s="12"/>
      <c r="F20" s="11"/>
      <c r="G20" s="20"/>
      <c r="H20" s="20"/>
    </row>
    <row r="21" spans="1:8" x14ac:dyDescent="0.3">
      <c r="A21" s="13"/>
      <c r="B21" s="14"/>
      <c r="C21" s="12"/>
      <c r="D21" s="12"/>
      <c r="E21" s="12"/>
      <c r="F21" s="11"/>
      <c r="G21" s="20"/>
      <c r="H21" s="20"/>
    </row>
    <row r="22" spans="1:8" x14ac:dyDescent="0.3">
      <c r="A22" s="13"/>
      <c r="B22" s="14"/>
      <c r="C22" s="12"/>
      <c r="D22" s="12"/>
      <c r="E22" s="12"/>
      <c r="F22" s="11"/>
      <c r="G22" s="20"/>
      <c r="H22" s="20"/>
    </row>
    <row r="23" spans="1:8" x14ac:dyDescent="0.3">
      <c r="A23" s="13"/>
      <c r="B23" s="14"/>
      <c r="C23" s="12"/>
      <c r="D23" s="12"/>
      <c r="E23" s="12"/>
      <c r="F23" s="11"/>
      <c r="G23" s="20"/>
      <c r="H23" s="20"/>
    </row>
    <row r="24" spans="1:8" x14ac:dyDescent="0.3">
      <c r="A24" s="13"/>
      <c r="B24" s="14"/>
      <c r="C24" s="12"/>
      <c r="D24" s="12"/>
      <c r="E24" s="12"/>
      <c r="F24" s="11"/>
      <c r="G24" s="20"/>
      <c r="H24" s="20"/>
    </row>
    <row r="25" spans="1:8" x14ac:dyDescent="0.3">
      <c r="A25" s="7"/>
      <c r="B25" s="8"/>
      <c r="C25" s="5"/>
      <c r="D25" s="5"/>
      <c r="E25" s="5"/>
      <c r="F25" s="10"/>
      <c r="G25" s="20"/>
      <c r="H25" s="20"/>
    </row>
    <row r="26" spans="1:8" x14ac:dyDescent="0.3">
      <c r="A26" s="16"/>
      <c r="B26" s="17"/>
      <c r="C26" s="18"/>
      <c r="D26" s="18"/>
      <c r="E26" s="18"/>
      <c r="F26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List</vt:lpstr>
      <vt:lpstr>New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Concepcion, Dave</dc:creator>
  <cp:keywords/>
  <dc:description/>
  <cp:lastModifiedBy>Go, Zachary See</cp:lastModifiedBy>
  <cp:revision/>
  <dcterms:created xsi:type="dcterms:W3CDTF">2022-11-25T01:01:23Z</dcterms:created>
  <dcterms:modified xsi:type="dcterms:W3CDTF">2022-11-29T03:18:03Z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2022-11-28T14:31:14Z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30eef993-2df2-444c-8b37-c553adc6d36f</vt:lpwstr>
  </property>
  <property fmtid="{D5CDD505-2E9C-101B-9397-08002B2CF9AE}" pid="8" name="MSIP_Label_a7295cc1-d279-42ac-ab4d-3b0f4fece050_ContentBits">
    <vt:lpwstr>0</vt:lpwstr>
  </property>
</Properties>
</file>